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<sst xmlns="http://schemas.openxmlformats.org/spreadsheetml/2006/main" count="267" uniqueCount="111">
  <si>
    <t xml:space="preserve">Task ID</t>
  </si>
  <si>
    <t xml:space="preserve">Version</t>
  </si>
  <si>
    <t xml:space="preserve">Phase</t>
  </si>
  <si>
    <t xml:space="preserve">Task</t>
  </si>
  <si>
    <t xml:space="preserve">Owner</t>
  </si>
  <si>
    <t xml:space="preserve">Start</t>
  </si>
  <si>
    <t xml:space="preserve">Finish</t>
  </si>
  <si>
    <t xml:space="preserve">Duration (days)</t>
  </si>
  <si>
    <t xml:space="preserve">Status</t>
  </si>
  <si>
    <t xml:space="preserve">Pct Complete</t>
  </si>
  <si>
    <t xml:space="preserve">Milestone</t>
  </si>
  <si>
    <t xml:space="preserve">Depends On</t>
  </si>
  <si>
    <t xml:space="preserve">Notes</t>
  </si>
  <si>
    <t xml:space="preserve">V1-01</t>
  </si>
  <si>
    <t xml:space="preserve">Version 1</t>
  </si>
  <si>
    <t xml:space="preserve">1. Data Validation</t>
  </si>
  <si>
    <t xml:space="preserve">Full 10-yr panel build &amp; dry-run</t>
  </si>
  <si>
    <t xml:space="preserve">Data Scientist</t>
  </si>
  <si>
    <t xml:space="preserve">Done</t>
  </si>
  <si>
    <t xml:space="preserve">No</t>
  </si>
  <si>
    <t xml:space="preserve">V1-02</t>
  </si>
  <si>
    <t xml:space="preserve">AWP schema exploration</t>
  </si>
  <si>
    <t xml:space="preserve">V1-03</t>
  </si>
  <si>
    <t xml:space="preserve">Sanity check across years</t>
  </si>
  <si>
    <t xml:space="preserve">V1-04</t>
  </si>
  <si>
    <t xml:space="preserve">Segment-key (ORIGKEY) stability check</t>
  </si>
  <si>
    <t xml:space="preserve">V1-05</t>
  </si>
  <si>
    <t xml:space="preserve">Buffer</t>
  </si>
  <si>
    <t xml:space="preserve">Buffer: competing priorities / IT scheduling</t>
  </si>
  <si>
    <t xml:space="preserve">In progress</t>
  </si>
  <si>
    <t xml:space="preserve">V1-06</t>
  </si>
  <si>
    <t xml:space="preserve">3. Model Refinement</t>
  </si>
  <si>
    <t xml:space="preserve">Refit deterioration curve (longitudinal)</t>
  </si>
  <si>
    <t xml:space="preserve">V1-07</t>
  </si>
  <si>
    <t xml:space="preserve">2. Cost Integration</t>
  </si>
  <si>
    <t xml:space="preserve">AWP-to-PMIS join design &amp; build</t>
  </si>
  <si>
    <t xml:space="preserve">Not started</t>
  </si>
  <si>
    <t xml:space="preserve">V1-08</t>
  </si>
  <si>
    <t xml:space="preserve">Calibrate triggers with pavement engineers</t>
  </si>
  <si>
    <t xml:space="preserve">Data Scientist, Pavement Engineers</t>
  </si>
  <si>
    <t xml:space="preserve">V1-09</t>
  </si>
  <si>
    <t xml:space="preserve">User-cost scope decision</t>
  </si>
  <si>
    <t xml:space="preserve">Manager</t>
  </si>
  <si>
    <t xml:space="preserve">Yes</t>
  </si>
  <si>
    <t xml:space="preserve">V1-10</t>
  </si>
  <si>
    <t xml:space="preserve">Derive real unit costs by treatment</t>
  </si>
  <si>
    <t xml:space="preserve">V1-11</t>
  </si>
  <si>
    <t xml:space="preserve">NHCCI cost escalation layer</t>
  </si>
  <si>
    <t xml:space="preserve">V1-12</t>
  </si>
  <si>
    <t xml:space="preserve">Rebuild star schema with real costs</t>
  </si>
  <si>
    <t xml:space="preserve">V1-13</t>
  </si>
  <si>
    <t xml:space="preserve">Buffer: cost data validation / rework</t>
  </si>
  <si>
    <t xml:space="preserve">V1-14</t>
  </si>
  <si>
    <t xml:space="preserve">4. Power BI Build</t>
  </si>
  <si>
    <t xml:space="preserve">Connect Desktop, relationships, DAX</t>
  </si>
  <si>
    <t xml:space="preserve">V1-15</t>
  </si>
  <si>
    <t xml:space="preserve">Report pages + What-If parameters</t>
  </si>
  <si>
    <t xml:space="preserve">V1-16</t>
  </si>
  <si>
    <t xml:space="preserve">Gateway + scheduled refresh setup</t>
  </si>
  <si>
    <t xml:space="preserve">V1-17</t>
  </si>
  <si>
    <t xml:space="preserve">5. Review &amp; Rollout</t>
  </si>
  <si>
    <t xml:space="preserve">Internal engineer review</t>
  </si>
  <si>
    <t xml:space="preserve">V1-18</t>
  </si>
  <si>
    <t xml:space="preserve">Leadership presentation &amp; feedback</t>
  </si>
  <si>
    <t xml:space="preserve">Manager, Data Scientist</t>
  </si>
  <si>
    <t xml:space="preserve">V1-19</t>
  </si>
  <si>
    <t xml:space="preserve">Documentation &amp; handoff</t>
  </si>
  <si>
    <t xml:space="preserve">V1-20</t>
  </si>
  <si>
    <t xml:space="preserve">Version 1 complete</t>
  </si>
  <si>
    <t xml:space="preserve">V2-01</t>
  </si>
  <si>
    <t xml:space="preserve">Version 2</t>
  </si>
  <si>
    <t xml:space="preserve">6. Bid Item Analysis</t>
  </si>
  <si>
    <t xml:space="preserve">V2 scope &amp; priorities with manager</t>
  </si>
  <si>
    <t xml:space="preserve">V2-02</t>
  </si>
  <si>
    <t xml:space="preserve">Treatment data source &amp; AWP link (incl. HPTL)</t>
  </si>
  <si>
    <t xml:space="preserve">Treatment type is not stored in AWP</t>
  </si>
  <si>
    <t xml:space="preserve">V2-03</t>
  </si>
  <si>
    <t xml:space="preserve">Inflation index table from PDFs</t>
  </si>
  <si>
    <t xml:space="preserve">Intern</t>
  </si>
  <si>
    <t xml:space="preserve">V2-04</t>
  </si>
  <si>
    <t xml:space="preserve">Bid item quantity &amp; trend views (Oracle)</t>
  </si>
  <si>
    <t xml:space="preserve">V2-05</t>
  </si>
  <si>
    <t xml:space="preserve">Quantity by treatment chart (manager's analysis)</t>
  </si>
  <si>
    <t xml:space="preserve">V2-02, V2-04</t>
  </si>
  <si>
    <t xml:space="preserve">V2-06</t>
  </si>
  <si>
    <t xml:space="preserve">Polynomial trend fit (method agreed)</t>
  </si>
  <si>
    <t xml:space="preserve">V2-07</t>
  </si>
  <si>
    <t xml:space="preserve">Compare inflation index with NHCCI layer</t>
  </si>
  <si>
    <t xml:space="preserve">Data Scientist, Intern</t>
  </si>
  <si>
    <t xml:space="preserve">V2-03, V1-11</t>
  </si>
  <si>
    <t xml:space="preserve">V2-08</t>
  </si>
  <si>
    <t xml:space="preserve">Validate V2 outputs vs published bid tabs</t>
  </si>
  <si>
    <t xml:space="preserve">V2-09</t>
  </si>
  <si>
    <t xml:space="preserve">Review &amp; handoff Version 2</t>
  </si>
  <si>
    <t xml:space="preserve">V2-10</t>
  </si>
  <si>
    <t xml:space="preserve">Version 2 complete</t>
  </si>
  <si>
    <t xml:space="preserve">How to update this task list</t>
  </si>
  <si>
    <t xml:space="preserve">Edit</t>
  </si>
  <si>
    <t xml:space="preserve">Cells in blue text on the Tasks sheet. Duration is calculated from Start and Finish.</t>
  </si>
  <si>
    <t xml:space="preserve">Not started, In progress, Done, or Blocked (dropdown).</t>
  </si>
  <si>
    <t xml:space="preserve">0% to 100%. The Gantt bar fills in to show progress.</t>
  </si>
  <si>
    <t xml:space="preserve">Yes shows a diamond on the Gantt chart. Use the same date for Start and Finish.</t>
  </si>
  <si>
    <t xml:space="preserve">Choose from the dropdown so colors match the Gantt legend. To add a phase, also add it to the color list in the Deneb spec.</t>
  </si>
  <si>
    <t xml:space="preserve">Adding a task</t>
  </si>
  <si>
    <t xml:space="preserve">Type in the first empty row below the table; the table expands automatically. Use the next Task ID (V1-21, V2-11).</t>
  </si>
  <si>
    <t xml:space="preserve">New requests</t>
  </si>
  <si>
    <t xml:space="preserve">Requests that arrive during Version 1 are added as Version 2 tasks, so Version 1 dates stay unchanged.</t>
  </si>
  <si>
    <t xml:space="preserve">Refresh</t>
  </si>
  <si>
    <t xml:space="preserve">Save this file, then click Refresh in Power BI.</t>
  </si>
  <si>
    <t xml:space="preserve">Assumptions</t>
  </si>
  <si>
    <t xml:space="preserve">Status and percent complete reflect progress as of October 2, 2026. Version 2 dates are planning estimates to confirm in task V2-01.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</si>
</sst>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General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7C8C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8C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jectTasks" displayName="ProjectTasks" ref="A1:M31" headerRowCount="1" totalsRowCount="0" totalsRowShown="0">
  <autoFilter ref="A1:M31"/>
  <tableColumns count="13">
    <tableColumn id="1" name="Task ID"/>
    <tableColumn id="2" name="Version"/>
    <tableColumn id="3" name="Phase"/>
    <tableColumn id="4" name="Task"/>
    <tableColumn id="5" name="Owner"/>
    <tableColumn id="6" name="Start"/>
    <tableColumn id="7" name="Finish"/>
    <tableColumn id="8" name="Duration (days)"/>
    <tableColumn id="9" name="Status"/>
    <tableColumn id="10" name="Pct Complete"/>
    <tableColumn id="11" name="Milestone"/>
    <tableColumn id="12" name="Depends On"/>
    <tableColumn id="1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46281</v>
      </c>
      <c r="G2" s="3" t="n">
        <v>46291</v>
      </c>
      <c r="H2" s="4" t="n">
        <f aca="false">G2-F2+1</f>
        <v>11</v>
      </c>
      <c r="I2" s="2" t="s">
        <v>18</v>
      </c>
      <c r="J2" s="5" t="n">
        <v>1</v>
      </c>
      <c r="K2" s="2" t="s">
        <v>19</v>
      </c>
      <c r="L2" s="2"/>
      <c r="M2" s="2"/>
    </row>
    <row r="3" customFormat="false" ht="15" hidden="false" customHeight="false" outlineLevel="0" collapsed="false">
      <c r="A3" s="2" t="s">
        <v>20</v>
      </c>
      <c r="B3" s="2" t="s">
        <v>14</v>
      </c>
      <c r="C3" s="2" t="s">
        <v>15</v>
      </c>
      <c r="D3" s="2" t="s">
        <v>21</v>
      </c>
      <c r="E3" s="2" t="s">
        <v>17</v>
      </c>
      <c r="F3" s="3" t="n">
        <v>46281</v>
      </c>
      <c r="G3" s="3" t="n">
        <v>46296</v>
      </c>
      <c r="H3" s="4" t="n">
        <f aca="false">G3-F3+1</f>
        <v>16</v>
      </c>
      <c r="I3" s="2" t="s">
        <v>18</v>
      </c>
      <c r="J3" s="5" t="n">
        <v>1</v>
      </c>
      <c r="K3" s="2" t="s">
        <v>19</v>
      </c>
      <c r="L3" s="2"/>
      <c r="M3" s="2"/>
    </row>
    <row r="4" customFormat="false" ht="15" hidden="false" customHeight="false" outlineLevel="0" collapsed="false">
      <c r="A4" s="2" t="s">
        <v>22</v>
      </c>
      <c r="B4" s="2" t="s">
        <v>14</v>
      </c>
      <c r="C4" s="2" t="s">
        <v>15</v>
      </c>
      <c r="D4" s="2" t="s">
        <v>23</v>
      </c>
      <c r="E4" s="2" t="s">
        <v>17</v>
      </c>
      <c r="F4" s="3" t="n">
        <v>46291</v>
      </c>
      <c r="G4" s="3" t="n">
        <v>46296</v>
      </c>
      <c r="H4" s="4" t="n">
        <f aca="false">G4-F4+1</f>
        <v>6</v>
      </c>
      <c r="I4" s="2" t="s">
        <v>18</v>
      </c>
      <c r="J4" s="5" t="n">
        <v>1</v>
      </c>
      <c r="K4" s="2" t="s">
        <v>19</v>
      </c>
      <c r="L4" s="2" t="s">
        <v>13</v>
      </c>
      <c r="M4" s="2"/>
    </row>
    <row r="5" customFormat="false" ht="15" hidden="false" customHeight="false" outlineLevel="0" collapsed="false">
      <c r="A5" s="2" t="s">
        <v>24</v>
      </c>
      <c r="B5" s="2" t="s">
        <v>14</v>
      </c>
      <c r="C5" s="2" t="s">
        <v>15</v>
      </c>
      <c r="D5" s="2" t="s">
        <v>25</v>
      </c>
      <c r="E5" s="2" t="s">
        <v>17</v>
      </c>
      <c r="F5" s="3" t="n">
        <v>46291</v>
      </c>
      <c r="G5" s="3" t="n">
        <v>46296</v>
      </c>
      <c r="H5" s="4" t="n">
        <f aca="false">G5-F5+1</f>
        <v>6</v>
      </c>
      <c r="I5" s="2" t="s">
        <v>18</v>
      </c>
      <c r="J5" s="5" t="n">
        <v>1</v>
      </c>
      <c r="K5" s="2" t="s">
        <v>19</v>
      </c>
      <c r="L5" s="2" t="s">
        <v>13</v>
      </c>
      <c r="M5" s="2"/>
    </row>
    <row r="6" customFormat="false" ht="15" hidden="false" customHeight="false" outlineLevel="0" collapsed="false">
      <c r="A6" s="2" t="s">
        <v>26</v>
      </c>
      <c r="B6" s="2" t="s">
        <v>14</v>
      </c>
      <c r="C6" s="2" t="s">
        <v>27</v>
      </c>
      <c r="D6" s="2" t="s">
        <v>28</v>
      </c>
      <c r="E6" s="2" t="s">
        <v>17</v>
      </c>
      <c r="F6" s="3" t="n">
        <v>46296</v>
      </c>
      <c r="G6" s="3" t="n">
        <v>46306</v>
      </c>
      <c r="H6" s="4" t="n">
        <f aca="false">G6-F6+1</f>
        <v>11</v>
      </c>
      <c r="I6" s="2" t="s">
        <v>29</v>
      </c>
      <c r="J6" s="5" t="n">
        <v>0.1</v>
      </c>
      <c r="K6" s="2" t="s">
        <v>19</v>
      </c>
      <c r="L6" s="2"/>
      <c r="M6" s="2"/>
    </row>
    <row r="7" customFormat="false" ht="15" hidden="false" customHeight="false" outlineLevel="0" collapsed="false">
      <c r="A7" s="2" t="s">
        <v>30</v>
      </c>
      <c r="B7" s="2" t="s">
        <v>14</v>
      </c>
      <c r="C7" s="2" t="s">
        <v>31</v>
      </c>
      <c r="D7" s="2" t="s">
        <v>32</v>
      </c>
      <c r="E7" s="2" t="s">
        <v>17</v>
      </c>
      <c r="F7" s="3" t="n">
        <v>46296</v>
      </c>
      <c r="G7" s="3" t="n">
        <v>46306</v>
      </c>
      <c r="H7" s="4" t="n">
        <f aca="false">G7-F7+1</f>
        <v>11</v>
      </c>
      <c r="I7" s="2" t="s">
        <v>29</v>
      </c>
      <c r="J7" s="5" t="n">
        <v>0.15</v>
      </c>
      <c r="K7" s="2" t="s">
        <v>19</v>
      </c>
      <c r="L7" s="2" t="s">
        <v>22</v>
      </c>
      <c r="M7" s="2"/>
    </row>
    <row r="8" customFormat="false" ht="15" hidden="false" customHeight="false" outlineLevel="0" collapsed="false">
      <c r="A8" s="2" t="s">
        <v>33</v>
      </c>
      <c r="B8" s="2" t="s">
        <v>14</v>
      </c>
      <c r="C8" s="2" t="s">
        <v>34</v>
      </c>
      <c r="D8" s="2" t="s">
        <v>35</v>
      </c>
      <c r="E8" s="2" t="s">
        <v>17</v>
      </c>
      <c r="F8" s="3" t="n">
        <v>46306</v>
      </c>
      <c r="G8" s="3" t="n">
        <v>46336</v>
      </c>
      <c r="H8" s="4" t="n">
        <f aca="false">G8-F8+1</f>
        <v>31</v>
      </c>
      <c r="I8" s="2" t="s">
        <v>36</v>
      </c>
      <c r="J8" s="5" t="n">
        <v>0</v>
      </c>
      <c r="K8" s="2" t="s">
        <v>19</v>
      </c>
      <c r="L8" s="2" t="s">
        <v>24</v>
      </c>
      <c r="M8" s="2"/>
    </row>
    <row r="9" customFormat="false" ht="15" hidden="false" customHeight="false" outlineLevel="0" collapsed="false">
      <c r="A9" s="2" t="s">
        <v>37</v>
      </c>
      <c r="B9" s="2" t="s">
        <v>14</v>
      </c>
      <c r="C9" s="2" t="s">
        <v>31</v>
      </c>
      <c r="D9" s="2" t="s">
        <v>38</v>
      </c>
      <c r="E9" s="2" t="s">
        <v>39</v>
      </c>
      <c r="F9" s="3" t="n">
        <v>46306</v>
      </c>
      <c r="G9" s="3" t="n">
        <v>46326</v>
      </c>
      <c r="H9" s="4" t="n">
        <f aca="false">G9-F9+1</f>
        <v>21</v>
      </c>
      <c r="I9" s="2" t="s">
        <v>36</v>
      </c>
      <c r="J9" s="5" t="n">
        <v>0</v>
      </c>
      <c r="K9" s="2" t="s">
        <v>19</v>
      </c>
      <c r="L9" s="2" t="s">
        <v>30</v>
      </c>
      <c r="M9" s="2"/>
    </row>
    <row r="10" customFormat="false" ht="15" hidden="false" customHeight="false" outlineLevel="0" collapsed="false">
      <c r="A10" s="2" t="s">
        <v>40</v>
      </c>
      <c r="B10" s="2" t="s">
        <v>14</v>
      </c>
      <c r="C10" s="2" t="s">
        <v>31</v>
      </c>
      <c r="D10" s="2" t="s">
        <v>41</v>
      </c>
      <c r="E10" s="2" t="s">
        <v>42</v>
      </c>
      <c r="F10" s="3" t="n">
        <v>46326</v>
      </c>
      <c r="G10" s="3" t="n">
        <v>46326</v>
      </c>
      <c r="H10" s="4" t="n">
        <f aca="false">G10-F10+1</f>
        <v>1</v>
      </c>
      <c r="I10" s="2" t="s">
        <v>36</v>
      </c>
      <c r="J10" s="5" t="n">
        <v>0</v>
      </c>
      <c r="K10" s="2" t="s">
        <v>43</v>
      </c>
      <c r="L10" s="2" t="s">
        <v>37</v>
      </c>
      <c r="M10" s="2"/>
    </row>
    <row r="11" customFormat="false" ht="15" hidden="false" customHeight="false" outlineLevel="0" collapsed="false">
      <c r="A11" s="2" t="s">
        <v>44</v>
      </c>
      <c r="B11" s="2" t="s">
        <v>14</v>
      </c>
      <c r="C11" s="2" t="s">
        <v>34</v>
      </c>
      <c r="D11" s="2" t="s">
        <v>45</v>
      </c>
      <c r="E11" s="2" t="s">
        <v>17</v>
      </c>
      <c r="F11" s="3" t="n">
        <v>46336</v>
      </c>
      <c r="G11" s="3" t="n">
        <v>46351</v>
      </c>
      <c r="H11" s="4" t="n">
        <f aca="false">G11-F11+1</f>
        <v>16</v>
      </c>
      <c r="I11" s="2" t="s">
        <v>36</v>
      </c>
      <c r="J11" s="5" t="n">
        <v>0</v>
      </c>
      <c r="K11" s="2" t="s">
        <v>19</v>
      </c>
      <c r="L11" s="2" t="s">
        <v>33</v>
      </c>
      <c r="M11" s="2"/>
    </row>
    <row r="12" customFormat="false" ht="15" hidden="false" customHeight="false" outlineLevel="0" collapsed="false">
      <c r="A12" s="2" t="s">
        <v>46</v>
      </c>
      <c r="B12" s="2" t="s">
        <v>14</v>
      </c>
      <c r="C12" s="2" t="s">
        <v>34</v>
      </c>
      <c r="D12" s="2" t="s">
        <v>47</v>
      </c>
      <c r="E12" s="2" t="s">
        <v>17</v>
      </c>
      <c r="F12" s="3" t="n">
        <v>46351</v>
      </c>
      <c r="G12" s="3" t="n">
        <v>46358</v>
      </c>
      <c r="H12" s="4" t="n">
        <f aca="false">G12-F12+1</f>
        <v>8</v>
      </c>
      <c r="I12" s="2" t="s">
        <v>36</v>
      </c>
      <c r="J12" s="5" t="n">
        <v>0</v>
      </c>
      <c r="K12" s="2" t="s">
        <v>19</v>
      </c>
      <c r="L12" s="2" t="s">
        <v>44</v>
      </c>
      <c r="M12" s="2"/>
    </row>
    <row r="13" customFormat="false" ht="15" hidden="false" customHeight="false" outlineLevel="0" collapsed="false">
      <c r="A13" s="2" t="s">
        <v>48</v>
      </c>
      <c r="B13" s="2" t="s">
        <v>14</v>
      </c>
      <c r="C13" s="2" t="s">
        <v>34</v>
      </c>
      <c r="D13" s="2" t="s">
        <v>49</v>
      </c>
      <c r="E13" s="2" t="s">
        <v>17</v>
      </c>
      <c r="F13" s="3" t="n">
        <v>46358</v>
      </c>
      <c r="G13" s="3" t="n">
        <v>46365</v>
      </c>
      <c r="H13" s="4" t="n">
        <f aca="false">G13-F13+1</f>
        <v>8</v>
      </c>
      <c r="I13" s="2" t="s">
        <v>36</v>
      </c>
      <c r="J13" s="5" t="n">
        <v>0</v>
      </c>
      <c r="K13" s="2" t="s">
        <v>19</v>
      </c>
      <c r="L13" s="2" t="s">
        <v>46</v>
      </c>
      <c r="M13" s="2"/>
    </row>
    <row r="14" customFormat="false" ht="15" hidden="false" customHeight="false" outlineLevel="0" collapsed="false">
      <c r="A14" s="2" t="s">
        <v>50</v>
      </c>
      <c r="B14" s="2" t="s">
        <v>14</v>
      </c>
      <c r="C14" s="2" t="s">
        <v>27</v>
      </c>
      <c r="D14" s="2" t="s">
        <v>51</v>
      </c>
      <c r="E14" s="2" t="s">
        <v>17</v>
      </c>
      <c r="F14" s="3" t="n">
        <v>46365</v>
      </c>
      <c r="G14" s="3" t="n">
        <v>46380</v>
      </c>
      <c r="H14" s="4" t="n">
        <f aca="false">G14-F14+1</f>
        <v>16</v>
      </c>
      <c r="I14" s="2" t="s">
        <v>36</v>
      </c>
      <c r="J14" s="5" t="n">
        <v>0</v>
      </c>
      <c r="K14" s="2" t="s">
        <v>19</v>
      </c>
      <c r="L14" s="2"/>
      <c r="M14" s="2"/>
    </row>
    <row r="15" customFormat="false" ht="15" hidden="false" customHeight="false" outlineLevel="0" collapsed="false">
      <c r="A15" s="2" t="s">
        <v>52</v>
      </c>
      <c r="B15" s="2" t="s">
        <v>14</v>
      </c>
      <c r="C15" s="2" t="s">
        <v>53</v>
      </c>
      <c r="D15" s="2" t="s">
        <v>54</v>
      </c>
      <c r="E15" s="2" t="s">
        <v>17</v>
      </c>
      <c r="F15" s="3" t="n">
        <v>46380</v>
      </c>
      <c r="G15" s="3" t="n">
        <v>46395</v>
      </c>
      <c r="H15" s="4" t="n">
        <f aca="false">G15-F15+1</f>
        <v>16</v>
      </c>
      <c r="I15" s="2" t="s">
        <v>36</v>
      </c>
      <c r="J15" s="5" t="n">
        <v>0</v>
      </c>
      <c r="K15" s="2" t="s">
        <v>19</v>
      </c>
      <c r="L15" s="2" t="s">
        <v>48</v>
      </c>
      <c r="M15" s="2"/>
    </row>
    <row r="16" customFormat="false" ht="15" hidden="false" customHeight="false" outlineLevel="0" collapsed="false">
      <c r="A16" s="2" t="s">
        <v>55</v>
      </c>
      <c r="B16" s="2" t="s">
        <v>14</v>
      </c>
      <c r="C16" s="2" t="s">
        <v>53</v>
      </c>
      <c r="D16" s="2" t="s">
        <v>56</v>
      </c>
      <c r="E16" s="2" t="s">
        <v>17</v>
      </c>
      <c r="F16" s="3" t="n">
        <v>46395</v>
      </c>
      <c r="G16" s="3" t="n">
        <v>46407</v>
      </c>
      <c r="H16" s="4" t="n">
        <f aca="false">G16-F16+1</f>
        <v>13</v>
      </c>
      <c r="I16" s="2" t="s">
        <v>36</v>
      </c>
      <c r="J16" s="5" t="n">
        <v>0</v>
      </c>
      <c r="K16" s="2" t="s">
        <v>19</v>
      </c>
      <c r="L16" s="2" t="s">
        <v>52</v>
      </c>
      <c r="M16" s="2"/>
    </row>
    <row r="17" customFormat="false" ht="15" hidden="false" customHeight="false" outlineLevel="0" collapsed="false">
      <c r="A17" s="2" t="s">
        <v>57</v>
      </c>
      <c r="B17" s="2" t="s">
        <v>14</v>
      </c>
      <c r="C17" s="2" t="s">
        <v>53</v>
      </c>
      <c r="D17" s="2" t="s">
        <v>58</v>
      </c>
      <c r="E17" s="2" t="s">
        <v>17</v>
      </c>
      <c r="F17" s="3" t="n">
        <v>46407</v>
      </c>
      <c r="G17" s="3" t="n">
        <v>46419</v>
      </c>
      <c r="H17" s="4" t="n">
        <f aca="false">G17-F17+1</f>
        <v>13</v>
      </c>
      <c r="I17" s="2" t="s">
        <v>36</v>
      </c>
      <c r="J17" s="5" t="n">
        <v>0</v>
      </c>
      <c r="K17" s="2" t="s">
        <v>19</v>
      </c>
      <c r="L17" s="2" t="s">
        <v>55</v>
      </c>
      <c r="M17" s="2"/>
    </row>
    <row r="18" customFormat="false" ht="15" hidden="false" customHeight="false" outlineLevel="0" collapsed="false">
      <c r="A18" s="2" t="s">
        <v>59</v>
      </c>
      <c r="B18" s="2" t="s">
        <v>14</v>
      </c>
      <c r="C18" s="2" t="s">
        <v>60</v>
      </c>
      <c r="D18" s="2" t="s">
        <v>61</v>
      </c>
      <c r="E18" s="2" t="s">
        <v>39</v>
      </c>
      <c r="F18" s="3" t="n">
        <v>46419</v>
      </c>
      <c r="G18" s="3" t="n">
        <v>46434</v>
      </c>
      <c r="H18" s="4" t="n">
        <f aca="false">G18-F18+1</f>
        <v>16</v>
      </c>
      <c r="I18" s="2" t="s">
        <v>36</v>
      </c>
      <c r="J18" s="5" t="n">
        <v>0</v>
      </c>
      <c r="K18" s="2" t="s">
        <v>19</v>
      </c>
      <c r="L18" s="2" t="s">
        <v>57</v>
      </c>
      <c r="M18" s="2"/>
    </row>
    <row r="19" customFormat="false" ht="15" hidden="false" customHeight="false" outlineLevel="0" collapsed="false">
      <c r="A19" s="2" t="s">
        <v>62</v>
      </c>
      <c r="B19" s="2" t="s">
        <v>14</v>
      </c>
      <c r="C19" s="2" t="s">
        <v>60</v>
      </c>
      <c r="D19" s="2" t="s">
        <v>63</v>
      </c>
      <c r="E19" s="2" t="s">
        <v>64</v>
      </c>
      <c r="F19" s="3" t="n">
        <v>46434</v>
      </c>
      <c r="G19" s="3" t="n">
        <v>46449</v>
      </c>
      <c r="H19" s="4" t="n">
        <f aca="false">G19-F19+1</f>
        <v>16</v>
      </c>
      <c r="I19" s="2" t="s">
        <v>36</v>
      </c>
      <c r="J19" s="5" t="n">
        <v>0</v>
      </c>
      <c r="K19" s="2" t="s">
        <v>19</v>
      </c>
      <c r="L19" s="2" t="s">
        <v>59</v>
      </c>
      <c r="M19" s="2"/>
    </row>
    <row r="20" customFormat="false" ht="15" hidden="false" customHeight="false" outlineLevel="0" collapsed="false">
      <c r="A20" s="2" t="s">
        <v>65</v>
      </c>
      <c r="B20" s="2" t="s">
        <v>14</v>
      </c>
      <c r="C20" s="2" t="s">
        <v>60</v>
      </c>
      <c r="D20" s="2" t="s">
        <v>66</v>
      </c>
      <c r="E20" s="2" t="s">
        <v>17</v>
      </c>
      <c r="F20" s="3" t="n">
        <v>46449</v>
      </c>
      <c r="G20" s="3" t="n">
        <v>46459</v>
      </c>
      <c r="H20" s="4" t="n">
        <f aca="false">G20-F20+1</f>
        <v>11</v>
      </c>
      <c r="I20" s="2" t="s">
        <v>36</v>
      </c>
      <c r="J20" s="5" t="n">
        <v>0</v>
      </c>
      <c r="K20" s="2" t="s">
        <v>19</v>
      </c>
      <c r="L20" s="2" t="s">
        <v>62</v>
      </c>
      <c r="M20" s="2"/>
    </row>
    <row r="21" customFormat="false" ht="15" hidden="false" customHeight="false" outlineLevel="0" collapsed="false">
      <c r="A21" s="2" t="s">
        <v>67</v>
      </c>
      <c r="B21" s="2" t="s">
        <v>14</v>
      </c>
      <c r="C21" s="2" t="s">
        <v>60</v>
      </c>
      <c r="D21" s="2" t="s">
        <v>68</v>
      </c>
      <c r="E21" s="2" t="s">
        <v>17</v>
      </c>
      <c r="F21" s="3" t="n">
        <v>46459</v>
      </c>
      <c r="G21" s="3" t="n">
        <v>46459</v>
      </c>
      <c r="H21" s="4" t="n">
        <f aca="false">G21-F21+1</f>
        <v>1</v>
      </c>
      <c r="I21" s="2" t="s">
        <v>36</v>
      </c>
      <c r="J21" s="5" t="n">
        <v>0</v>
      </c>
      <c r="K21" s="2" t="s">
        <v>43</v>
      </c>
      <c r="L21" s="2" t="s">
        <v>65</v>
      </c>
      <c r="M21" s="2"/>
    </row>
    <row r="22" customFormat="false" ht="15" hidden="false" customHeight="false" outlineLevel="0" collapsed="false">
      <c r="A22" s="2" t="s">
        <v>69</v>
      </c>
      <c r="B22" s="2" t="s">
        <v>70</v>
      </c>
      <c r="C22" s="2" t="s">
        <v>71</v>
      </c>
      <c r="D22" s="2" t="s">
        <v>72</v>
      </c>
      <c r="E22" s="2" t="s">
        <v>64</v>
      </c>
      <c r="F22" s="3" t="n">
        <v>46461</v>
      </c>
      <c r="G22" s="3" t="n">
        <v>46465</v>
      </c>
      <c r="H22" s="4" t="n">
        <f aca="false">G22-F22+1</f>
        <v>5</v>
      </c>
      <c r="I22" s="2" t="s">
        <v>36</v>
      </c>
      <c r="J22" s="5" t="n">
        <v>0</v>
      </c>
      <c r="K22" s="2" t="s">
        <v>19</v>
      </c>
      <c r="L22" s="2" t="s">
        <v>67</v>
      </c>
      <c r="M22" s="2"/>
    </row>
    <row r="23" customFormat="false" ht="15" hidden="false" customHeight="false" outlineLevel="0" collapsed="false">
      <c r="A23" s="2" t="s">
        <v>73</v>
      </c>
      <c r="B23" s="2" t="s">
        <v>70</v>
      </c>
      <c r="C23" s="2" t="s">
        <v>71</v>
      </c>
      <c r="D23" s="2" t="s">
        <v>74</v>
      </c>
      <c r="E23" s="2" t="s">
        <v>42</v>
      </c>
      <c r="F23" s="3" t="n">
        <v>46461</v>
      </c>
      <c r="G23" s="3" t="n">
        <v>46472</v>
      </c>
      <c r="H23" s="4" t="n">
        <f aca="false">G23-F23+1</f>
        <v>12</v>
      </c>
      <c r="I23" s="2" t="s">
        <v>36</v>
      </c>
      <c r="J23" s="5" t="n">
        <v>0</v>
      </c>
      <c r="K23" s="2" t="s">
        <v>19</v>
      </c>
      <c r="L23" s="2"/>
      <c r="M23" s="2" t="s">
        <v>75</v>
      </c>
    </row>
    <row r="24" customFormat="false" ht="15" hidden="false" customHeight="false" outlineLevel="0" collapsed="false">
      <c r="A24" s="2" t="s">
        <v>76</v>
      </c>
      <c r="B24" s="2" t="s">
        <v>70</v>
      </c>
      <c r="C24" s="2" t="s">
        <v>71</v>
      </c>
      <c r="D24" s="2" t="s">
        <v>77</v>
      </c>
      <c r="E24" s="2" t="s">
        <v>78</v>
      </c>
      <c r="F24" s="3" t="n">
        <v>46461</v>
      </c>
      <c r="G24" s="3" t="n">
        <v>46479</v>
      </c>
      <c r="H24" s="4" t="n">
        <f aca="false">G24-F24+1</f>
        <v>19</v>
      </c>
      <c r="I24" s="2" t="s">
        <v>36</v>
      </c>
      <c r="J24" s="5" t="n">
        <v>0</v>
      </c>
      <c r="K24" s="2" t="s">
        <v>19</v>
      </c>
      <c r="L24" s="2"/>
      <c r="M24" s="2"/>
    </row>
    <row r="25" customFormat="false" ht="15" hidden="false" customHeight="false" outlineLevel="0" collapsed="false">
      <c r="A25" s="2" t="s">
        <v>79</v>
      </c>
      <c r="B25" s="2" t="s">
        <v>70</v>
      </c>
      <c r="C25" s="2" t="s">
        <v>71</v>
      </c>
      <c r="D25" s="2" t="s">
        <v>80</v>
      </c>
      <c r="E25" s="2" t="s">
        <v>17</v>
      </c>
      <c r="F25" s="3" t="n">
        <v>46468</v>
      </c>
      <c r="G25" s="3" t="n">
        <v>46479</v>
      </c>
      <c r="H25" s="4" t="n">
        <f aca="false">G25-F25+1</f>
        <v>12</v>
      </c>
      <c r="I25" s="2" t="s">
        <v>36</v>
      </c>
      <c r="J25" s="5" t="n">
        <v>0</v>
      </c>
      <c r="K25" s="2" t="s">
        <v>19</v>
      </c>
      <c r="L25" s="2" t="s">
        <v>69</v>
      </c>
      <c r="M25" s="2"/>
    </row>
    <row r="26" customFormat="false" ht="15" hidden="false" customHeight="false" outlineLevel="0" collapsed="false">
      <c r="A26" s="2" t="s">
        <v>81</v>
      </c>
      <c r="B26" s="2" t="s">
        <v>70</v>
      </c>
      <c r="C26" s="2" t="s">
        <v>71</v>
      </c>
      <c r="D26" s="2" t="s">
        <v>82</v>
      </c>
      <c r="E26" s="2" t="s">
        <v>17</v>
      </c>
      <c r="F26" s="3" t="n">
        <v>46482</v>
      </c>
      <c r="G26" s="3" t="n">
        <v>46493</v>
      </c>
      <c r="H26" s="4" t="n">
        <f aca="false">G26-F26+1</f>
        <v>12</v>
      </c>
      <c r="I26" s="2" t="s">
        <v>36</v>
      </c>
      <c r="J26" s="5" t="n">
        <v>0</v>
      </c>
      <c r="K26" s="2" t="s">
        <v>19</v>
      </c>
      <c r="L26" s="2" t="s">
        <v>83</v>
      </c>
      <c r="M26" s="2"/>
    </row>
    <row r="27" customFormat="false" ht="15" hidden="false" customHeight="false" outlineLevel="0" collapsed="false">
      <c r="A27" s="2" t="s">
        <v>84</v>
      </c>
      <c r="B27" s="2" t="s">
        <v>70</v>
      </c>
      <c r="C27" s="2" t="s">
        <v>71</v>
      </c>
      <c r="D27" s="2" t="s">
        <v>85</v>
      </c>
      <c r="E27" s="2" t="s">
        <v>17</v>
      </c>
      <c r="F27" s="3" t="n">
        <v>46482</v>
      </c>
      <c r="G27" s="3" t="n">
        <v>46493</v>
      </c>
      <c r="H27" s="4" t="n">
        <f aca="false">G27-F27+1</f>
        <v>12</v>
      </c>
      <c r="I27" s="2" t="s">
        <v>36</v>
      </c>
      <c r="J27" s="5" t="n">
        <v>0</v>
      </c>
      <c r="K27" s="2" t="s">
        <v>19</v>
      </c>
      <c r="L27" s="2" t="s">
        <v>79</v>
      </c>
      <c r="M27" s="2"/>
    </row>
    <row r="28" customFormat="false" ht="15" hidden="false" customHeight="false" outlineLevel="0" collapsed="false">
      <c r="A28" s="2" t="s">
        <v>86</v>
      </c>
      <c r="B28" s="2" t="s">
        <v>70</v>
      </c>
      <c r="C28" s="2" t="s">
        <v>71</v>
      </c>
      <c r="D28" s="2" t="s">
        <v>87</v>
      </c>
      <c r="E28" s="2" t="s">
        <v>88</v>
      </c>
      <c r="F28" s="3" t="n">
        <v>46482</v>
      </c>
      <c r="G28" s="3" t="n">
        <v>46486</v>
      </c>
      <c r="H28" s="4" t="n">
        <f aca="false">G28-F28+1</f>
        <v>5</v>
      </c>
      <c r="I28" s="2" t="s">
        <v>36</v>
      </c>
      <c r="J28" s="5" t="n">
        <v>0</v>
      </c>
      <c r="K28" s="2" t="s">
        <v>19</v>
      </c>
      <c r="L28" s="2" t="s">
        <v>89</v>
      </c>
      <c r="M28" s="2"/>
    </row>
    <row r="29" customFormat="false" ht="15" hidden="false" customHeight="false" outlineLevel="0" collapsed="false">
      <c r="A29" s="2" t="s">
        <v>90</v>
      </c>
      <c r="B29" s="2" t="s">
        <v>70</v>
      </c>
      <c r="C29" s="2" t="s">
        <v>71</v>
      </c>
      <c r="D29" s="2" t="s">
        <v>91</v>
      </c>
      <c r="E29" s="2" t="s">
        <v>78</v>
      </c>
      <c r="F29" s="3" t="n">
        <v>46489</v>
      </c>
      <c r="G29" s="3" t="n">
        <v>46500</v>
      </c>
      <c r="H29" s="4" t="n">
        <f aca="false">G29-F29+1</f>
        <v>12</v>
      </c>
      <c r="I29" s="2" t="s">
        <v>36</v>
      </c>
      <c r="J29" s="5" t="n">
        <v>0</v>
      </c>
      <c r="K29" s="2" t="s">
        <v>19</v>
      </c>
      <c r="L29" s="2" t="s">
        <v>81</v>
      </c>
      <c r="M29" s="2"/>
    </row>
    <row r="30" customFormat="false" ht="15" hidden="false" customHeight="false" outlineLevel="0" collapsed="false">
      <c r="A30" s="2" t="s">
        <v>92</v>
      </c>
      <c r="B30" s="2" t="s">
        <v>70</v>
      </c>
      <c r="C30" s="2" t="s">
        <v>71</v>
      </c>
      <c r="D30" s="2" t="s">
        <v>93</v>
      </c>
      <c r="E30" s="2" t="s">
        <v>64</v>
      </c>
      <c r="F30" s="3" t="n">
        <v>46503</v>
      </c>
      <c r="G30" s="3" t="n">
        <v>46514</v>
      </c>
      <c r="H30" s="4" t="n">
        <f aca="false">G30-F30+1</f>
        <v>12</v>
      </c>
      <c r="I30" s="2" t="s">
        <v>36</v>
      </c>
      <c r="J30" s="5" t="n">
        <v>0</v>
      </c>
      <c r="K30" s="2" t="s">
        <v>19</v>
      </c>
      <c r="L30" s="2" t="s">
        <v>90</v>
      </c>
      <c r="M30" s="2"/>
    </row>
    <row r="31" customFormat="false" ht="15" hidden="false" customHeight="false" outlineLevel="0" collapsed="false">
      <c r="A31" s="2" t="s">
        <v>94</v>
      </c>
      <c r="B31" s="2" t="s">
        <v>70</v>
      </c>
      <c r="C31" s="2" t="s">
        <v>71</v>
      </c>
      <c r="D31" s="2" t="s">
        <v>95</v>
      </c>
      <c r="E31" s="2" t="s">
        <v>17</v>
      </c>
      <c r="F31" s="3" t="n">
        <v>46514</v>
      </c>
      <c r="G31" s="3" t="n">
        <v>46514</v>
      </c>
      <c r="H31" s="4" t="n">
        <f aca="false">G31-F31+1</f>
        <v>1</v>
      </c>
      <c r="I31" s="2" t="s">
        <v>36</v>
      </c>
      <c r="J31" s="5" t="n">
        <v>0</v>
      </c>
      <c r="K31" s="2" t="s">
        <v>43</v>
      </c>
      <c r="L31" s="2" t="s">
        <v>92</v>
      </c>
      <c r="M31" s="2"/>
    </row>
  </sheetData>
  <conditionalFormatting sqref="I2:I31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"Blocked"</formula>
    </cfRule>
  </conditionalFormatting>
  <dataValidations count="5">
    <dataValidation allowBlank="false" errorStyle="stop" operator="between" showDropDown="false" showErrorMessage="false" showInputMessage="false" sqref="B2:B31" type="list">
      <formula1>"Version 1,Version 2"</formula1>
      <formula2>0</formula2>
    </dataValidation>
    <dataValidation allowBlank="false" errorStyle="stop" operator="between" showDropDown="false" showErrorMessage="false" showInputMessage="false" sqref="I2:I31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K2:K31" type="list">
      <formula1>"Yes,No"</formula1>
      <formula2>0</formula2>
    </dataValidation>
    <dataValidation allowBlank="false" errorStyle="stop" operator="between" showDropDown="false" showErrorMessage="false" showInputMessage="false" sqref="C2:C31" type="list">
      <formula1>"1. Data Validation,Buffer,2. Cost Integration,3. Model Refinement,4. Power BI Build,5. Review &amp; Rollout,6. Bid Item Analysis"</formula1>
      <formula2>0</formula2>
    </dataValidation>
    <dataValidation allowBlank="false" error="Enter a value from 0% to 100%" errorStyle="stop" operator="between" showDropDown="false" showErrorMessage="false" showInputMessage="false" sqref="J2:J3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6" t="s">
        <v>96</v>
      </c>
    </row>
    <row r="2" customFormat="false" ht="15" hidden="false" customHeight="false" outlineLevel="0" collapsed="false">
      <c r="A2" s="7"/>
      <c r="B2" s="8"/>
    </row>
    <row r="3" customFormat="false" ht="15" hidden="false" customHeight="false" outlineLevel="0" collapsed="false">
      <c r="A3" s="7" t="s">
        <v>97</v>
      </c>
      <c r="B3" s="8" t="s">
        <v>98</v>
      </c>
    </row>
    <row r="4" customFormat="false" ht="15" hidden="false" customHeight="false" outlineLevel="0" collapsed="false">
      <c r="A4" s="7" t="s">
        <v>8</v>
      </c>
      <c r="B4" s="8" t="s">
        <v>99</v>
      </c>
    </row>
    <row r="5" customFormat="false" ht="15" hidden="false" customHeight="false" outlineLevel="0" collapsed="false">
      <c r="A5" s="7" t="s">
        <v>9</v>
      </c>
      <c r="B5" s="8" t="s">
        <v>100</v>
      </c>
    </row>
    <row r="6" customFormat="false" ht="15" hidden="false" customHeight="false" outlineLevel="0" collapsed="false">
      <c r="A6" s="7" t="s">
        <v>10</v>
      </c>
      <c r="B6" s="8" t="s">
        <v>101</v>
      </c>
    </row>
    <row r="7" customFormat="false" ht="23.85" hidden="false" customHeight="false" outlineLevel="0" collapsed="false">
      <c r="A7" s="7" t="s">
        <v>2</v>
      </c>
      <c r="B7" s="8" t="s">
        <v>102</v>
      </c>
    </row>
    <row r="8" customFormat="false" ht="15" hidden="false" customHeight="false" outlineLevel="0" collapsed="false">
      <c r="A8" s="7" t="s">
        <v>103</v>
      </c>
      <c r="B8" s="8" t="s">
        <v>104</v>
      </c>
    </row>
    <row r="9" customFormat="false" ht="15" hidden="false" customHeight="false" outlineLevel="0" collapsed="false">
      <c r="A9" s="7" t="s">
        <v>105</v>
      </c>
      <c r="B9" s="8" t="s">
        <v>106</v>
      </c>
    </row>
    <row r="10" customFormat="false" ht="15" hidden="false" customHeight="false" outlineLevel="0" collapsed="false">
      <c r="A10" s="7" t="s">
        <v>107</v>
      </c>
      <c r="B10" s="8" t="s">
        <v>108</v>
      </c>
    </row>
    <row r="11" customFormat="false" ht="15" hidden="false" customHeight="false" outlineLevel="0" collapsed="false">
      <c r="A11" s="7"/>
      <c r="B11" s="8"/>
    </row>
    <row r="12" customFormat="false" ht="23.85" hidden="false" customHeight="false" outlineLevel="0" collapsed="false">
      <c r="A12" s="7" t="s">
        <v>109</v>
      </c>
      <c r="B12" s="8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2026-10-02T18:29:36Z</dcterms:created>
  <dc:creator>openpyxl</dc:creator>
  <dc:description/>
  <dc:language>en-US</dc:language>
  <cp:lastModifiedBy/>
  <dcterms:modified xsi:type="dcterms:W3CDTF">2026-10-02T18:29:36Z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