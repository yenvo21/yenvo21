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<sst xmlns="http://schemas.openxmlformats.org/spreadsheetml/2006/main" count="311" uniqueCount="113">
  <si>
    <t xml:space="preserve">Task ID</t>
  </si>
  <si>
    <t xml:space="preserve">Version</t>
  </si>
  <si>
    <t xml:space="preserve">Workstream</t>
  </si>
  <si>
    <t xml:space="preserve">Phase</t>
  </si>
  <si>
    <t xml:space="preserve">Task</t>
  </si>
  <si>
    <t xml:space="preserve">Owner</t>
  </si>
  <si>
    <t xml:space="preserve">Start</t>
  </si>
  <si>
    <t xml:space="preserve">End</t>
  </si>
  <si>
    <t xml:space="preserve">Duration (days)</t>
  </si>
  <si>
    <t xml:space="preserve">Status</t>
  </si>
  <si>
    <t xml:space="preserve">Depends On</t>
  </si>
  <si>
    <t xml:space="preserve">Milestone</t>
  </si>
  <si>
    <t xml:space="preserve">V1-01</t>
  </si>
  <si>
    <t xml:space="preserve">Version 1</t>
  </si>
  <si>
    <t xml:space="preserve">A. Database &amp; Power BI</t>
  </si>
  <si>
    <t xml:space="preserve">Access &amp; discovery</t>
  </si>
  <si>
    <t xml:space="preserve">Request Oracle permissions from IT</t>
  </si>
  <si>
    <t xml:space="preserve">Data Scientist</t>
  </si>
  <si>
    <t xml:space="preserve">In progress</t>
  </si>
  <si>
    <t xml:space="preserve">No</t>
  </si>
  <si>
    <t xml:space="preserve">V1-02</t>
  </si>
  <si>
    <t xml:space="preserve">Send scope recap</t>
  </si>
  <si>
    <t xml:space="preserve">Not started</t>
  </si>
  <si>
    <t xml:space="preserve">Yes</t>
  </si>
  <si>
    <t xml:space="preserve">V1-03</t>
  </si>
  <si>
    <t xml:space="preserve">List tables, columns, and keys from Oracle catalog</t>
  </si>
  <si>
    <t xml:space="preserve">V1-04</t>
  </si>
  <si>
    <t xml:space="preserve">Identify core bid tables</t>
  </si>
  <si>
    <t xml:space="preserve">V1-05</t>
  </si>
  <si>
    <t xml:space="preserve">Data dictionary</t>
  </si>
  <si>
    <t xml:space="preserve">Export catalog and profile key fields</t>
  </si>
  <si>
    <t xml:space="preserve">V1-06</t>
  </si>
  <si>
    <t xml:space="preserve">Draft descriptions; send questions to Contract Office</t>
  </si>
  <si>
    <t xml:space="preserve">V1-07</t>
  </si>
  <si>
    <t xml:space="preserve">Data dictionary draft</t>
  </si>
  <si>
    <t xml:space="preserve">V1-08</t>
  </si>
  <si>
    <t xml:space="preserve">Oracle views</t>
  </si>
  <si>
    <t xml:space="preserve">Build joins with row-count checks</t>
  </si>
  <si>
    <t xml:space="preserve">V1-09</t>
  </si>
  <si>
    <t xml:space="preserve">Check item code and unit consistency across years</t>
  </si>
  <si>
    <t xml:space="preserve">V1-10</t>
  </si>
  <si>
    <t xml:space="preserve">Create detail view (v_bid_item_detail)</t>
  </si>
  <si>
    <t xml:space="preserve">V1-11</t>
  </si>
  <si>
    <t xml:space="preserve">Create trend view (v_bid_item_qty_trend)</t>
  </si>
  <si>
    <t xml:space="preserve">V1-12</t>
  </si>
  <si>
    <t xml:space="preserve">C. Validation &amp; testing</t>
  </si>
  <si>
    <t xml:space="preserve">Validation</t>
  </si>
  <si>
    <t xml:space="preserve">Reconcile 3 lettings against published bid tabs</t>
  </si>
  <si>
    <t xml:space="preserve">Intern</t>
  </si>
  <si>
    <t xml:space="preserve">V1-13</t>
  </si>
  <si>
    <t xml:space="preserve">Views built and validated</t>
  </si>
  <si>
    <t xml:space="preserve">V1-11, V1-12</t>
  </si>
  <si>
    <t xml:space="preserve">V1-14</t>
  </si>
  <si>
    <t xml:space="preserve">Power BI</t>
  </si>
  <si>
    <t xml:space="preserve">Connect to views; build data model, Date and Items tables</t>
  </si>
  <si>
    <t xml:space="preserve">V1-15</t>
  </si>
  <si>
    <t xml:space="preserve">Build measures and quantity trend page</t>
  </si>
  <si>
    <t xml:space="preserve">V1-16</t>
  </si>
  <si>
    <t xml:space="preserve">Test report and log issues</t>
  </si>
  <si>
    <t xml:space="preserve">V1-17</t>
  </si>
  <si>
    <t xml:space="preserve">Power BI first draft</t>
  </si>
  <si>
    <t xml:space="preserve">V1-18</t>
  </si>
  <si>
    <t xml:space="preserve">Review &amp; handover</t>
  </si>
  <si>
    <t xml:space="preserve">Review draft with manager and apply changes</t>
  </si>
  <si>
    <t xml:space="preserve">V1-19</t>
  </si>
  <si>
    <t xml:space="preserve">Finalize data dictionary and user guide</t>
  </si>
  <si>
    <t xml:space="preserve">V1-20</t>
  </si>
  <si>
    <t xml:space="preserve">Version 1 complete</t>
  </si>
  <si>
    <t xml:space="preserve">V2-01</t>
  </si>
  <si>
    <t xml:space="preserve">Version 2</t>
  </si>
  <si>
    <t xml:space="preserve">Planning</t>
  </si>
  <si>
    <t xml:space="preserve">Agree Version 2 scope and priorities</t>
  </si>
  <si>
    <t xml:space="preserve">Manager</t>
  </si>
  <si>
    <t xml:space="preserve">V2-02</t>
  </si>
  <si>
    <t xml:space="preserve">B. Inflation index</t>
  </si>
  <si>
    <t xml:space="preserve">Inflation index</t>
  </si>
  <si>
    <t xml:space="preserve">Collect inflation index table (year, quarter, index, source)</t>
  </si>
  <si>
    <t xml:space="preserve">V2-03</t>
  </si>
  <si>
    <t xml:space="preserve">B. Treatment data</t>
  </si>
  <si>
    <t xml:space="preserve">Treatment data</t>
  </si>
  <si>
    <t xml:space="preserve">Identify treatment data source and link key to AWP</t>
  </si>
  <si>
    <t xml:space="preserve">V2-04</t>
  </si>
  <si>
    <t xml:space="preserve">Join inflation index; add inflation-adjusted prices</t>
  </si>
  <si>
    <t xml:space="preserve">V2-05</t>
  </si>
  <si>
    <t xml:space="preserve">Link treatment data to bid items</t>
  </si>
  <si>
    <t xml:space="preserve">V2-06</t>
  </si>
  <si>
    <t xml:space="preserve">Quantity by treatment page (manager's chart)</t>
  </si>
  <si>
    <t xml:space="preserve">V2-07</t>
  </si>
  <si>
    <t xml:space="preserve">Agree polynomial method; build trend fit</t>
  </si>
  <si>
    <t xml:space="preserve">V2-08</t>
  </si>
  <si>
    <t xml:space="preserve">Unit price trends and bid competition page</t>
  </si>
  <si>
    <t xml:space="preserve">V2-09</t>
  </si>
  <si>
    <t xml:space="preserve">Modeling</t>
  </si>
  <si>
    <t xml:space="preserve">Bid price prediction model</t>
  </si>
  <si>
    <t xml:space="preserve">V2-10</t>
  </si>
  <si>
    <t xml:space="preserve">Validate and test Version 2 additions</t>
  </si>
  <si>
    <t xml:space="preserve">V2-06, V2-08</t>
  </si>
  <si>
    <t xml:space="preserve">V2-11</t>
  </si>
  <si>
    <t xml:space="preserve">Review with manager and finalize</t>
  </si>
  <si>
    <t xml:space="preserve">V2-12</t>
  </si>
  <si>
    <t xml:space="preserve">Version 2 complete</t>
  </si>
  <si>
    <t xml:space="preserve">How to use this task list</t>
  </si>
  <si>
    <t xml:space="preserve">What to edit</t>
  </si>
  <si>
    <t xml:space="preserve">All columns in blue text on the Tasks sheet. Duration is calculated automatically.</t>
  </si>
  <si>
    <t xml:space="preserve">Choose from the dropdown: Not started, In progress, Done, Blocked. The Gantt chart colors bars by status.</t>
  </si>
  <si>
    <t xml:space="preserve">Yes shows a diamond on the Gantt chart instead of a bar. Use the same date for Start and End.</t>
  </si>
  <si>
    <t xml:space="preserve">Adding a task</t>
  </si>
  <si>
    <t xml:space="preserve">Type in the first empty row below the table; the table expands automatically. Keep the Task ID format (V1-21, V2-13) so tasks sort in order.</t>
  </si>
  <si>
    <t xml:space="preserve">Version 2 requests</t>
  </si>
  <si>
    <t xml:space="preserve">New requests during Version 1 go in as Version 2 tasks, so the Version 1 dates stay unchanged.</t>
  </si>
  <si>
    <t xml:space="preserve">Load the ProjectTasks table into Power BI, then add all columns to the Deneb visual as described in the Deneb setup guide.</t>
  </si>
  <si>
    <t xml:space="preserve">Assumptions</t>
  </si>
  <si>
    <t xml:space="preserve">Version 2 dates (January to April 2027) are planning estimates and will be confirmed in the Version 2 scope meeting (task V2-01).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</si>
</sst>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0674B"/>
      <name val="Arial"/>
      <family val="0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74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jectTasks" displayName="ProjectTasks" ref="A1:L33" headerRowCount="1" totalsRowCount="0" totalsRowShown="0">
  <autoFilter ref="A1:L33"/>
  <tableColumns count="12">
    <tableColumn id="1" name="Task ID"/>
    <tableColumn id="2" name="Version"/>
    <tableColumn id="3" name="Workstream"/>
    <tableColumn id="4" name="Phase"/>
    <tableColumn id="5" name="Task"/>
    <tableColumn id="6" name="Owner"/>
    <tableColumn id="7" name="Start"/>
    <tableColumn id="8" name="End"/>
    <tableColumn id="9" name="Duration (days)"/>
    <tableColumn id="10" name="Status"/>
    <tableColumn id="11" name="Depends On"/>
    <tableColumn id="12" name="Mileston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52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1" min="10" style="0" width="13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n">
        <v>46300</v>
      </c>
      <c r="H2" s="3" t="n">
        <v>46304</v>
      </c>
      <c r="I2" s="4" t="n">
        <f aca="false">H2-G2+1</f>
        <v>5</v>
      </c>
      <c r="J2" s="2" t="s">
        <v>18</v>
      </c>
      <c r="K2" s="2"/>
      <c r="L2" s="2" t="s">
        <v>19</v>
      </c>
    </row>
    <row r="3" customFormat="false" ht="15" hidden="false" customHeight="false" outlineLevel="0" collapsed="false">
      <c r="A3" s="2" t="s">
        <v>20</v>
      </c>
      <c r="B3" s="2" t="s">
        <v>13</v>
      </c>
      <c r="C3" s="2" t="s">
        <v>14</v>
      </c>
      <c r="D3" s="2" t="s">
        <v>15</v>
      </c>
      <c r="E3" s="2" t="s">
        <v>21</v>
      </c>
      <c r="F3" s="2" t="s">
        <v>17</v>
      </c>
      <c r="G3" s="3" t="n">
        <v>46304</v>
      </c>
      <c r="H3" s="3" t="n">
        <v>46304</v>
      </c>
      <c r="I3" s="4" t="n">
        <f aca="false">H3-G3+1</f>
        <v>1</v>
      </c>
      <c r="J3" s="2" t="s">
        <v>22</v>
      </c>
      <c r="K3" s="2"/>
      <c r="L3" s="2" t="s">
        <v>23</v>
      </c>
    </row>
    <row r="4" customFormat="false" ht="15" hidden="false" customHeight="false" outlineLevel="0" collapsed="false">
      <c r="A4" s="2" t="s">
        <v>24</v>
      </c>
      <c r="B4" s="2" t="s">
        <v>13</v>
      </c>
      <c r="C4" s="2" t="s">
        <v>14</v>
      </c>
      <c r="D4" s="2" t="s">
        <v>15</v>
      </c>
      <c r="E4" s="2" t="s">
        <v>25</v>
      </c>
      <c r="F4" s="2" t="s">
        <v>17</v>
      </c>
      <c r="G4" s="3" t="n">
        <v>46302</v>
      </c>
      <c r="H4" s="3" t="n">
        <v>46309</v>
      </c>
      <c r="I4" s="4" t="n">
        <f aca="false">H4-G4+1</f>
        <v>8</v>
      </c>
      <c r="J4" s="2" t="s">
        <v>22</v>
      </c>
      <c r="K4" s="2" t="s">
        <v>12</v>
      </c>
      <c r="L4" s="2" t="s">
        <v>19</v>
      </c>
    </row>
    <row r="5" customFormat="false" ht="15" hidden="false" customHeight="false" outlineLevel="0" collapsed="false">
      <c r="A5" s="2" t="s">
        <v>26</v>
      </c>
      <c r="B5" s="2" t="s">
        <v>13</v>
      </c>
      <c r="C5" s="2" t="s">
        <v>14</v>
      </c>
      <c r="D5" s="2" t="s">
        <v>15</v>
      </c>
      <c r="E5" s="2" t="s">
        <v>27</v>
      </c>
      <c r="F5" s="2" t="s">
        <v>17</v>
      </c>
      <c r="G5" s="3" t="n">
        <v>46307</v>
      </c>
      <c r="H5" s="3" t="n">
        <v>46311</v>
      </c>
      <c r="I5" s="4" t="n">
        <f aca="false">H5-G5+1</f>
        <v>5</v>
      </c>
      <c r="J5" s="2" t="s">
        <v>22</v>
      </c>
      <c r="K5" s="2" t="s">
        <v>24</v>
      </c>
      <c r="L5" s="2" t="s">
        <v>19</v>
      </c>
    </row>
    <row r="6" customFormat="false" ht="15" hidden="false" customHeight="false" outlineLevel="0" collapsed="false">
      <c r="A6" s="2" t="s">
        <v>28</v>
      </c>
      <c r="B6" s="2" t="s">
        <v>13</v>
      </c>
      <c r="C6" s="2" t="s">
        <v>14</v>
      </c>
      <c r="D6" s="2" t="s">
        <v>29</v>
      </c>
      <c r="E6" s="2" t="s">
        <v>30</v>
      </c>
      <c r="F6" s="2" t="s">
        <v>17</v>
      </c>
      <c r="G6" s="3" t="n">
        <v>46307</v>
      </c>
      <c r="H6" s="3" t="n">
        <v>46318</v>
      </c>
      <c r="I6" s="4" t="n">
        <f aca="false">H6-G6+1</f>
        <v>12</v>
      </c>
      <c r="J6" s="2" t="s">
        <v>22</v>
      </c>
      <c r="K6" s="2" t="s">
        <v>24</v>
      </c>
      <c r="L6" s="2" t="s">
        <v>19</v>
      </c>
    </row>
    <row r="7" customFormat="false" ht="15" hidden="false" customHeight="false" outlineLevel="0" collapsed="false">
      <c r="A7" s="2" t="s">
        <v>31</v>
      </c>
      <c r="B7" s="2" t="s">
        <v>13</v>
      </c>
      <c r="C7" s="2" t="s">
        <v>14</v>
      </c>
      <c r="D7" s="2" t="s">
        <v>29</v>
      </c>
      <c r="E7" s="2" t="s">
        <v>32</v>
      </c>
      <c r="F7" s="2" t="s">
        <v>17</v>
      </c>
      <c r="G7" s="3" t="n">
        <v>46314</v>
      </c>
      <c r="H7" s="3" t="n">
        <v>46325</v>
      </c>
      <c r="I7" s="4" t="n">
        <f aca="false">H7-G7+1</f>
        <v>12</v>
      </c>
      <c r="J7" s="2" t="s">
        <v>22</v>
      </c>
      <c r="K7" s="2" t="s">
        <v>28</v>
      </c>
      <c r="L7" s="2" t="s">
        <v>19</v>
      </c>
    </row>
    <row r="8" customFormat="false" ht="15" hidden="false" customHeight="false" outlineLevel="0" collapsed="false">
      <c r="A8" s="2" t="s">
        <v>33</v>
      </c>
      <c r="B8" s="2" t="s">
        <v>13</v>
      </c>
      <c r="C8" s="2" t="s">
        <v>14</v>
      </c>
      <c r="D8" s="2" t="s">
        <v>29</v>
      </c>
      <c r="E8" s="2" t="s">
        <v>34</v>
      </c>
      <c r="F8" s="2" t="s">
        <v>17</v>
      </c>
      <c r="G8" s="3" t="n">
        <v>46325</v>
      </c>
      <c r="H8" s="3" t="n">
        <v>46325</v>
      </c>
      <c r="I8" s="4" t="n">
        <f aca="false">H8-G8+1</f>
        <v>1</v>
      </c>
      <c r="J8" s="2" t="s">
        <v>22</v>
      </c>
      <c r="K8" s="2" t="s">
        <v>31</v>
      </c>
      <c r="L8" s="2" t="s">
        <v>23</v>
      </c>
    </row>
    <row r="9" customFormat="false" ht="15" hidden="false" customHeight="false" outlineLevel="0" collapsed="false">
      <c r="A9" s="2" t="s">
        <v>35</v>
      </c>
      <c r="B9" s="2" t="s">
        <v>13</v>
      </c>
      <c r="C9" s="2" t="s">
        <v>14</v>
      </c>
      <c r="D9" s="2" t="s">
        <v>36</v>
      </c>
      <c r="E9" s="2" t="s">
        <v>37</v>
      </c>
      <c r="F9" s="2" t="s">
        <v>17</v>
      </c>
      <c r="G9" s="3" t="n">
        <v>46314</v>
      </c>
      <c r="H9" s="3" t="n">
        <v>46325</v>
      </c>
      <c r="I9" s="4" t="n">
        <f aca="false">H9-G9+1</f>
        <v>12</v>
      </c>
      <c r="J9" s="2" t="s">
        <v>22</v>
      </c>
      <c r="K9" s="2" t="s">
        <v>26</v>
      </c>
      <c r="L9" s="2" t="s">
        <v>19</v>
      </c>
    </row>
    <row r="10" customFormat="false" ht="15" hidden="false" customHeight="false" outlineLevel="0" collapsed="false">
      <c r="A10" s="2" t="s">
        <v>38</v>
      </c>
      <c r="B10" s="2" t="s">
        <v>13</v>
      </c>
      <c r="C10" s="2" t="s">
        <v>14</v>
      </c>
      <c r="D10" s="2" t="s">
        <v>36</v>
      </c>
      <c r="E10" s="2" t="s">
        <v>39</v>
      </c>
      <c r="F10" s="2" t="s">
        <v>17</v>
      </c>
      <c r="G10" s="3" t="n">
        <v>46321</v>
      </c>
      <c r="H10" s="3" t="n">
        <v>46330</v>
      </c>
      <c r="I10" s="4" t="n">
        <f aca="false">H10-G10+1</f>
        <v>10</v>
      </c>
      <c r="J10" s="2" t="s">
        <v>22</v>
      </c>
      <c r="K10" s="2" t="s">
        <v>35</v>
      </c>
      <c r="L10" s="2" t="s">
        <v>19</v>
      </c>
    </row>
    <row r="11" customFormat="false" ht="15" hidden="false" customHeight="false" outlineLevel="0" collapsed="false">
      <c r="A11" s="2" t="s">
        <v>40</v>
      </c>
      <c r="B11" s="2" t="s">
        <v>13</v>
      </c>
      <c r="C11" s="2" t="s">
        <v>14</v>
      </c>
      <c r="D11" s="2" t="s">
        <v>36</v>
      </c>
      <c r="E11" s="2" t="s">
        <v>41</v>
      </c>
      <c r="F11" s="2" t="s">
        <v>17</v>
      </c>
      <c r="G11" s="3" t="n">
        <v>46328</v>
      </c>
      <c r="H11" s="3" t="n">
        <v>46332</v>
      </c>
      <c r="I11" s="4" t="n">
        <f aca="false">H11-G11+1</f>
        <v>5</v>
      </c>
      <c r="J11" s="2" t="s">
        <v>22</v>
      </c>
      <c r="K11" s="2" t="s">
        <v>35</v>
      </c>
      <c r="L11" s="2" t="s">
        <v>19</v>
      </c>
    </row>
    <row r="12" customFormat="false" ht="15" hidden="false" customHeight="false" outlineLevel="0" collapsed="false">
      <c r="A12" s="2" t="s">
        <v>42</v>
      </c>
      <c r="B12" s="2" t="s">
        <v>13</v>
      </c>
      <c r="C12" s="2" t="s">
        <v>14</v>
      </c>
      <c r="D12" s="2" t="s">
        <v>36</v>
      </c>
      <c r="E12" s="2" t="s">
        <v>43</v>
      </c>
      <c r="F12" s="2" t="s">
        <v>17</v>
      </c>
      <c r="G12" s="3" t="n">
        <v>46330</v>
      </c>
      <c r="H12" s="3" t="n">
        <v>46336</v>
      </c>
      <c r="I12" s="4" t="n">
        <f aca="false">H12-G12+1</f>
        <v>7</v>
      </c>
      <c r="J12" s="2" t="s">
        <v>22</v>
      </c>
      <c r="K12" s="2" t="s">
        <v>40</v>
      </c>
      <c r="L12" s="2" t="s">
        <v>19</v>
      </c>
    </row>
    <row r="13" customFormat="false" ht="15" hidden="false" customHeight="false" outlineLevel="0" collapsed="false">
      <c r="A13" s="2" t="s">
        <v>44</v>
      </c>
      <c r="B13" s="2" t="s">
        <v>13</v>
      </c>
      <c r="C13" s="2" t="s">
        <v>45</v>
      </c>
      <c r="D13" s="2" t="s">
        <v>46</v>
      </c>
      <c r="E13" s="2" t="s">
        <v>47</v>
      </c>
      <c r="F13" s="2" t="s">
        <v>48</v>
      </c>
      <c r="G13" s="3" t="n">
        <v>46328</v>
      </c>
      <c r="H13" s="3" t="n">
        <v>46339</v>
      </c>
      <c r="I13" s="4" t="n">
        <f aca="false">H13-G13+1</f>
        <v>12</v>
      </c>
      <c r="J13" s="2" t="s">
        <v>22</v>
      </c>
      <c r="K13" s="2" t="s">
        <v>40</v>
      </c>
      <c r="L13" s="2" t="s">
        <v>19</v>
      </c>
    </row>
    <row r="14" customFormat="false" ht="15" hidden="false" customHeight="false" outlineLevel="0" collapsed="false">
      <c r="A14" s="2" t="s">
        <v>49</v>
      </c>
      <c r="B14" s="2" t="s">
        <v>13</v>
      </c>
      <c r="C14" s="2" t="s">
        <v>14</v>
      </c>
      <c r="D14" s="2" t="s">
        <v>46</v>
      </c>
      <c r="E14" s="2" t="s">
        <v>50</v>
      </c>
      <c r="F14" s="2" t="s">
        <v>17</v>
      </c>
      <c r="G14" s="3" t="n">
        <v>46339</v>
      </c>
      <c r="H14" s="3" t="n">
        <v>46339</v>
      </c>
      <c r="I14" s="4" t="n">
        <f aca="false">H14-G14+1</f>
        <v>1</v>
      </c>
      <c r="J14" s="2" t="s">
        <v>22</v>
      </c>
      <c r="K14" s="2" t="s">
        <v>51</v>
      </c>
      <c r="L14" s="2" t="s">
        <v>23</v>
      </c>
    </row>
    <row r="15" customFormat="false" ht="15" hidden="false" customHeight="false" outlineLevel="0" collapsed="false">
      <c r="A15" s="2" t="s">
        <v>52</v>
      </c>
      <c r="B15" s="2" t="s">
        <v>13</v>
      </c>
      <c r="C15" s="2" t="s">
        <v>14</v>
      </c>
      <c r="D15" s="2" t="s">
        <v>53</v>
      </c>
      <c r="E15" s="2" t="s">
        <v>54</v>
      </c>
      <c r="F15" s="2" t="s">
        <v>17</v>
      </c>
      <c r="G15" s="3" t="n">
        <v>46342</v>
      </c>
      <c r="H15" s="3" t="n">
        <v>46346</v>
      </c>
      <c r="I15" s="4" t="n">
        <f aca="false">H15-G15+1</f>
        <v>5</v>
      </c>
      <c r="J15" s="2" t="s">
        <v>22</v>
      </c>
      <c r="K15" s="2" t="s">
        <v>49</v>
      </c>
      <c r="L15" s="2" t="s">
        <v>19</v>
      </c>
    </row>
    <row r="16" customFormat="false" ht="15" hidden="false" customHeight="false" outlineLevel="0" collapsed="false">
      <c r="A16" s="2" t="s">
        <v>55</v>
      </c>
      <c r="B16" s="2" t="s">
        <v>13</v>
      </c>
      <c r="C16" s="2" t="s">
        <v>14</v>
      </c>
      <c r="D16" s="2" t="s">
        <v>53</v>
      </c>
      <c r="E16" s="2" t="s">
        <v>56</v>
      </c>
      <c r="F16" s="2" t="s">
        <v>17</v>
      </c>
      <c r="G16" s="3" t="n">
        <v>46344</v>
      </c>
      <c r="H16" s="3" t="n">
        <v>46358</v>
      </c>
      <c r="I16" s="4" t="n">
        <f aca="false">H16-G16+1</f>
        <v>15</v>
      </c>
      <c r="J16" s="2" t="s">
        <v>22</v>
      </c>
      <c r="K16" s="2" t="s">
        <v>52</v>
      </c>
      <c r="L16" s="2" t="s">
        <v>19</v>
      </c>
    </row>
    <row r="17" customFormat="false" ht="15" hidden="false" customHeight="false" outlineLevel="0" collapsed="false">
      <c r="A17" s="2" t="s">
        <v>57</v>
      </c>
      <c r="B17" s="2" t="s">
        <v>13</v>
      </c>
      <c r="C17" s="2" t="s">
        <v>45</v>
      </c>
      <c r="D17" s="2" t="s">
        <v>53</v>
      </c>
      <c r="E17" s="2" t="s">
        <v>58</v>
      </c>
      <c r="F17" s="2" t="s">
        <v>48</v>
      </c>
      <c r="G17" s="3" t="n">
        <v>46356</v>
      </c>
      <c r="H17" s="3" t="n">
        <v>46360</v>
      </c>
      <c r="I17" s="4" t="n">
        <f aca="false">H17-G17+1</f>
        <v>5</v>
      </c>
      <c r="J17" s="2" t="s">
        <v>22</v>
      </c>
      <c r="K17" s="2" t="s">
        <v>55</v>
      </c>
      <c r="L17" s="2" t="s">
        <v>19</v>
      </c>
    </row>
    <row r="18" customFormat="false" ht="15" hidden="false" customHeight="false" outlineLevel="0" collapsed="false">
      <c r="A18" s="2" t="s">
        <v>59</v>
      </c>
      <c r="B18" s="2" t="s">
        <v>13</v>
      </c>
      <c r="C18" s="2" t="s">
        <v>14</v>
      </c>
      <c r="D18" s="2" t="s">
        <v>53</v>
      </c>
      <c r="E18" s="2" t="s">
        <v>60</v>
      </c>
      <c r="F18" s="2" t="s">
        <v>17</v>
      </c>
      <c r="G18" s="3" t="n">
        <v>46360</v>
      </c>
      <c r="H18" s="3" t="n">
        <v>46360</v>
      </c>
      <c r="I18" s="4" t="n">
        <f aca="false">H18-G18+1</f>
        <v>1</v>
      </c>
      <c r="J18" s="2" t="s">
        <v>22</v>
      </c>
      <c r="K18" s="2" t="s">
        <v>55</v>
      </c>
      <c r="L18" s="2" t="s">
        <v>23</v>
      </c>
    </row>
    <row r="19" customFormat="false" ht="15" hidden="false" customHeight="false" outlineLevel="0" collapsed="false">
      <c r="A19" s="2" t="s">
        <v>61</v>
      </c>
      <c r="B19" s="2" t="s">
        <v>13</v>
      </c>
      <c r="C19" s="2" t="s">
        <v>14</v>
      </c>
      <c r="D19" s="2" t="s">
        <v>62</v>
      </c>
      <c r="E19" s="2" t="s">
        <v>63</v>
      </c>
      <c r="F19" s="2" t="s">
        <v>17</v>
      </c>
      <c r="G19" s="3" t="n">
        <v>46363</v>
      </c>
      <c r="H19" s="3" t="n">
        <v>46367</v>
      </c>
      <c r="I19" s="4" t="n">
        <f aca="false">H19-G19+1</f>
        <v>5</v>
      </c>
      <c r="J19" s="2" t="s">
        <v>22</v>
      </c>
      <c r="K19" s="2" t="s">
        <v>59</v>
      </c>
      <c r="L19" s="2" t="s">
        <v>19</v>
      </c>
    </row>
    <row r="20" customFormat="false" ht="15" hidden="false" customHeight="false" outlineLevel="0" collapsed="false">
      <c r="A20" s="2" t="s">
        <v>64</v>
      </c>
      <c r="B20" s="2" t="s">
        <v>13</v>
      </c>
      <c r="C20" s="2" t="s">
        <v>14</v>
      </c>
      <c r="D20" s="2" t="s">
        <v>62</v>
      </c>
      <c r="E20" s="2" t="s">
        <v>65</v>
      </c>
      <c r="F20" s="2" t="s">
        <v>17</v>
      </c>
      <c r="G20" s="3" t="n">
        <v>46365</v>
      </c>
      <c r="H20" s="3" t="n">
        <v>46372</v>
      </c>
      <c r="I20" s="4" t="n">
        <f aca="false">H20-G20+1</f>
        <v>8</v>
      </c>
      <c r="J20" s="2" t="s">
        <v>22</v>
      </c>
      <c r="K20" s="2" t="s">
        <v>61</v>
      </c>
      <c r="L20" s="2" t="s">
        <v>19</v>
      </c>
    </row>
    <row r="21" customFormat="false" ht="15" hidden="false" customHeight="false" outlineLevel="0" collapsed="false">
      <c r="A21" s="2" t="s">
        <v>66</v>
      </c>
      <c r="B21" s="2" t="s">
        <v>13</v>
      </c>
      <c r="C21" s="2" t="s">
        <v>14</v>
      </c>
      <c r="D21" s="2" t="s">
        <v>62</v>
      </c>
      <c r="E21" s="2" t="s">
        <v>67</v>
      </c>
      <c r="F21" s="2" t="s">
        <v>17</v>
      </c>
      <c r="G21" s="3" t="n">
        <v>46374</v>
      </c>
      <c r="H21" s="3" t="n">
        <v>46374</v>
      </c>
      <c r="I21" s="4" t="n">
        <f aca="false">H21-G21+1</f>
        <v>1</v>
      </c>
      <c r="J21" s="2" t="s">
        <v>22</v>
      </c>
      <c r="K21" s="2" t="s">
        <v>64</v>
      </c>
      <c r="L21" s="2" t="s">
        <v>23</v>
      </c>
    </row>
    <row r="22" customFormat="false" ht="15" hidden="false" customHeight="false" outlineLevel="0" collapsed="false">
      <c r="A22" s="2" t="s">
        <v>68</v>
      </c>
      <c r="B22" s="2" t="s">
        <v>69</v>
      </c>
      <c r="C22" s="2" t="s">
        <v>14</v>
      </c>
      <c r="D22" s="2" t="s">
        <v>70</v>
      </c>
      <c r="E22" s="2" t="s">
        <v>71</v>
      </c>
      <c r="F22" s="2" t="s">
        <v>72</v>
      </c>
      <c r="G22" s="3" t="n">
        <v>46391</v>
      </c>
      <c r="H22" s="3" t="n">
        <v>46395</v>
      </c>
      <c r="I22" s="4" t="n">
        <f aca="false">H22-G22+1</f>
        <v>5</v>
      </c>
      <c r="J22" s="2" t="s">
        <v>22</v>
      </c>
      <c r="K22" s="2" t="s">
        <v>66</v>
      </c>
      <c r="L22" s="2" t="s">
        <v>19</v>
      </c>
    </row>
    <row r="23" customFormat="false" ht="15" hidden="false" customHeight="false" outlineLevel="0" collapsed="false">
      <c r="A23" s="2" t="s">
        <v>73</v>
      </c>
      <c r="B23" s="2" t="s">
        <v>69</v>
      </c>
      <c r="C23" s="2" t="s">
        <v>74</v>
      </c>
      <c r="D23" s="2" t="s">
        <v>75</v>
      </c>
      <c r="E23" s="2" t="s">
        <v>76</v>
      </c>
      <c r="F23" s="2" t="s">
        <v>48</v>
      </c>
      <c r="G23" s="3" t="n">
        <v>46391</v>
      </c>
      <c r="H23" s="3" t="n">
        <v>46416</v>
      </c>
      <c r="I23" s="4" t="n">
        <f aca="false">H23-G23+1</f>
        <v>26</v>
      </c>
      <c r="J23" s="2" t="s">
        <v>22</v>
      </c>
      <c r="K23" s="2"/>
      <c r="L23" s="2" t="s">
        <v>19</v>
      </c>
    </row>
    <row r="24" customFormat="false" ht="15" hidden="false" customHeight="false" outlineLevel="0" collapsed="false">
      <c r="A24" s="2" t="s">
        <v>77</v>
      </c>
      <c r="B24" s="2" t="s">
        <v>69</v>
      </c>
      <c r="C24" s="2" t="s">
        <v>78</v>
      </c>
      <c r="D24" s="2" t="s">
        <v>79</v>
      </c>
      <c r="E24" s="2" t="s">
        <v>80</v>
      </c>
      <c r="F24" s="2" t="s">
        <v>72</v>
      </c>
      <c r="G24" s="3" t="n">
        <v>46391</v>
      </c>
      <c r="H24" s="3" t="n">
        <v>46409</v>
      </c>
      <c r="I24" s="4" t="n">
        <f aca="false">H24-G24+1</f>
        <v>19</v>
      </c>
      <c r="J24" s="2" t="s">
        <v>22</v>
      </c>
      <c r="K24" s="2"/>
      <c r="L24" s="2" t="s">
        <v>19</v>
      </c>
    </row>
    <row r="25" customFormat="false" ht="15" hidden="false" customHeight="false" outlineLevel="0" collapsed="false">
      <c r="A25" s="2" t="s">
        <v>81</v>
      </c>
      <c r="B25" s="2" t="s">
        <v>69</v>
      </c>
      <c r="C25" s="2" t="s">
        <v>14</v>
      </c>
      <c r="D25" s="2" t="s">
        <v>36</v>
      </c>
      <c r="E25" s="2" t="s">
        <v>82</v>
      </c>
      <c r="F25" s="2" t="s">
        <v>17</v>
      </c>
      <c r="G25" s="3" t="n">
        <v>46419</v>
      </c>
      <c r="H25" s="3" t="n">
        <v>46430</v>
      </c>
      <c r="I25" s="4" t="n">
        <f aca="false">H25-G25+1</f>
        <v>12</v>
      </c>
      <c r="J25" s="2" t="s">
        <v>22</v>
      </c>
      <c r="K25" s="2" t="s">
        <v>73</v>
      </c>
      <c r="L25" s="2" t="s">
        <v>19</v>
      </c>
    </row>
    <row r="26" customFormat="false" ht="15" hidden="false" customHeight="false" outlineLevel="0" collapsed="false">
      <c r="A26" s="2" t="s">
        <v>83</v>
      </c>
      <c r="B26" s="2" t="s">
        <v>69</v>
      </c>
      <c r="C26" s="2" t="s">
        <v>14</v>
      </c>
      <c r="D26" s="2" t="s">
        <v>36</v>
      </c>
      <c r="E26" s="2" t="s">
        <v>84</v>
      </c>
      <c r="F26" s="2" t="s">
        <v>17</v>
      </c>
      <c r="G26" s="3" t="n">
        <v>46419</v>
      </c>
      <c r="H26" s="3" t="n">
        <v>46437</v>
      </c>
      <c r="I26" s="4" t="n">
        <f aca="false">H26-G26+1</f>
        <v>19</v>
      </c>
      <c r="J26" s="2" t="s">
        <v>22</v>
      </c>
      <c r="K26" s="2" t="s">
        <v>77</v>
      </c>
      <c r="L26" s="2" t="s">
        <v>19</v>
      </c>
    </row>
    <row r="27" customFormat="false" ht="15" hidden="false" customHeight="false" outlineLevel="0" collapsed="false">
      <c r="A27" s="2" t="s">
        <v>85</v>
      </c>
      <c r="B27" s="2" t="s">
        <v>69</v>
      </c>
      <c r="C27" s="2" t="s">
        <v>14</v>
      </c>
      <c r="D27" s="2" t="s">
        <v>53</v>
      </c>
      <c r="E27" s="2" t="s">
        <v>86</v>
      </c>
      <c r="F27" s="2" t="s">
        <v>17</v>
      </c>
      <c r="G27" s="3" t="n">
        <v>46433</v>
      </c>
      <c r="H27" s="3" t="n">
        <v>46451</v>
      </c>
      <c r="I27" s="4" t="n">
        <f aca="false">H27-G27+1</f>
        <v>19</v>
      </c>
      <c r="J27" s="2" t="s">
        <v>22</v>
      </c>
      <c r="K27" s="2" t="s">
        <v>83</v>
      </c>
      <c r="L27" s="2" t="s">
        <v>19</v>
      </c>
    </row>
    <row r="28" customFormat="false" ht="15" hidden="false" customHeight="false" outlineLevel="0" collapsed="false">
      <c r="A28" s="2" t="s">
        <v>87</v>
      </c>
      <c r="B28" s="2" t="s">
        <v>69</v>
      </c>
      <c r="C28" s="2" t="s">
        <v>14</v>
      </c>
      <c r="D28" s="2" t="s">
        <v>53</v>
      </c>
      <c r="E28" s="2" t="s">
        <v>88</v>
      </c>
      <c r="F28" s="2" t="s">
        <v>17</v>
      </c>
      <c r="G28" s="3" t="n">
        <v>46440</v>
      </c>
      <c r="H28" s="3" t="n">
        <v>46451</v>
      </c>
      <c r="I28" s="4" t="n">
        <f aca="false">H28-G28+1</f>
        <v>12</v>
      </c>
      <c r="J28" s="2" t="s">
        <v>22</v>
      </c>
      <c r="K28" s="2" t="s">
        <v>68</v>
      </c>
      <c r="L28" s="2" t="s">
        <v>19</v>
      </c>
    </row>
    <row r="29" customFormat="false" ht="15" hidden="false" customHeight="false" outlineLevel="0" collapsed="false">
      <c r="A29" s="2" t="s">
        <v>89</v>
      </c>
      <c r="B29" s="2" t="s">
        <v>69</v>
      </c>
      <c r="C29" s="2" t="s">
        <v>14</v>
      </c>
      <c r="D29" s="2" t="s">
        <v>53</v>
      </c>
      <c r="E29" s="2" t="s">
        <v>90</v>
      </c>
      <c r="F29" s="2" t="s">
        <v>17</v>
      </c>
      <c r="G29" s="3" t="n">
        <v>46447</v>
      </c>
      <c r="H29" s="3" t="n">
        <v>46465</v>
      </c>
      <c r="I29" s="4" t="n">
        <f aca="false">H29-G29+1</f>
        <v>19</v>
      </c>
      <c r="J29" s="2" t="s">
        <v>22</v>
      </c>
      <c r="K29" s="2" t="s">
        <v>81</v>
      </c>
      <c r="L29" s="2" t="s">
        <v>19</v>
      </c>
    </row>
    <row r="30" customFormat="false" ht="15" hidden="false" customHeight="false" outlineLevel="0" collapsed="false">
      <c r="A30" s="2" t="s">
        <v>91</v>
      </c>
      <c r="B30" s="2" t="s">
        <v>69</v>
      </c>
      <c r="C30" s="2" t="s">
        <v>14</v>
      </c>
      <c r="D30" s="2" t="s">
        <v>92</v>
      </c>
      <c r="E30" s="2" t="s">
        <v>93</v>
      </c>
      <c r="F30" s="2" t="s">
        <v>17</v>
      </c>
      <c r="G30" s="3" t="n">
        <v>46447</v>
      </c>
      <c r="H30" s="3" t="n">
        <v>46493</v>
      </c>
      <c r="I30" s="4" t="n">
        <f aca="false">H30-G30+1</f>
        <v>47</v>
      </c>
      <c r="J30" s="2" t="s">
        <v>22</v>
      </c>
      <c r="K30" s="2" t="s">
        <v>81</v>
      </c>
      <c r="L30" s="2" t="s">
        <v>19</v>
      </c>
    </row>
    <row r="31" customFormat="false" ht="15" hidden="false" customHeight="false" outlineLevel="0" collapsed="false">
      <c r="A31" s="2" t="s">
        <v>94</v>
      </c>
      <c r="B31" s="2" t="s">
        <v>69</v>
      </c>
      <c r="C31" s="2" t="s">
        <v>45</v>
      </c>
      <c r="D31" s="2" t="s">
        <v>46</v>
      </c>
      <c r="E31" s="2" t="s">
        <v>95</v>
      </c>
      <c r="F31" s="2" t="s">
        <v>48</v>
      </c>
      <c r="G31" s="3" t="n">
        <v>46482</v>
      </c>
      <c r="H31" s="3" t="n">
        <v>46493</v>
      </c>
      <c r="I31" s="4" t="n">
        <f aca="false">H31-G31+1</f>
        <v>12</v>
      </c>
      <c r="J31" s="2" t="s">
        <v>22</v>
      </c>
      <c r="K31" s="2" t="s">
        <v>96</v>
      </c>
      <c r="L31" s="2" t="s">
        <v>19</v>
      </c>
    </row>
    <row r="32" customFormat="false" ht="15" hidden="false" customHeight="false" outlineLevel="0" collapsed="false">
      <c r="A32" s="2" t="s">
        <v>97</v>
      </c>
      <c r="B32" s="2" t="s">
        <v>69</v>
      </c>
      <c r="C32" s="2" t="s">
        <v>14</v>
      </c>
      <c r="D32" s="2" t="s">
        <v>62</v>
      </c>
      <c r="E32" s="2" t="s">
        <v>98</v>
      </c>
      <c r="F32" s="2" t="s">
        <v>17</v>
      </c>
      <c r="G32" s="3" t="n">
        <v>46496</v>
      </c>
      <c r="H32" s="3" t="n">
        <v>46505</v>
      </c>
      <c r="I32" s="4" t="n">
        <f aca="false">H32-G32+1</f>
        <v>10</v>
      </c>
      <c r="J32" s="2" t="s">
        <v>22</v>
      </c>
      <c r="K32" s="2" t="s">
        <v>94</v>
      </c>
      <c r="L32" s="2" t="s">
        <v>19</v>
      </c>
    </row>
    <row r="33" customFormat="false" ht="15" hidden="false" customHeight="false" outlineLevel="0" collapsed="false">
      <c r="A33" s="2" t="s">
        <v>99</v>
      </c>
      <c r="B33" s="2" t="s">
        <v>69</v>
      </c>
      <c r="C33" s="2" t="s">
        <v>14</v>
      </c>
      <c r="D33" s="2" t="s">
        <v>62</v>
      </c>
      <c r="E33" s="2" t="s">
        <v>100</v>
      </c>
      <c r="F33" s="2" t="s">
        <v>17</v>
      </c>
      <c r="G33" s="3" t="n">
        <v>46507</v>
      </c>
      <c r="H33" s="3" t="n">
        <v>46507</v>
      </c>
      <c r="I33" s="4" t="n">
        <f aca="false">H33-G33+1</f>
        <v>1</v>
      </c>
      <c r="J33" s="2" t="s">
        <v>22</v>
      </c>
      <c r="K33" s="2" t="s">
        <v>97</v>
      </c>
      <c r="L33" s="2" t="s">
        <v>23</v>
      </c>
    </row>
  </sheetData>
  <dataValidations count="3">
    <dataValidation allowBlank="false" errorStyle="stop" operator="between" showDropDown="false" showErrorMessage="false" showInputMessage="false" sqref="J2:J33" type="list">
      <formula1>"Not started,In progress,Done,Blocked"</formula1>
      <formula2>0</formula2>
    </dataValidation>
    <dataValidation allowBlank="false" errorStyle="stop" operator="between" showDropDown="false" showErrorMessage="false" showInputMessage="false" sqref="L2:L33" type="list">
      <formula1>"Yes,No"</formula1>
      <formula2>0</formula2>
    </dataValidation>
    <dataValidation allowBlank="false" errorStyle="stop" operator="between" showDropDown="false" showErrorMessage="false" showInputMessage="false" sqref="B2:B33" type="list">
      <formula1>"Version 1,Version 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5" t="s">
        <v>101</v>
      </c>
    </row>
    <row r="2" customFormat="false" ht="15" hidden="false" customHeight="false" outlineLevel="0" collapsed="false">
      <c r="A2" s="6"/>
      <c r="B2" s="7"/>
    </row>
    <row r="3" customFormat="false" ht="15" hidden="false" customHeight="false" outlineLevel="0" collapsed="false">
      <c r="A3" s="6" t="s">
        <v>102</v>
      </c>
      <c r="B3" s="7" t="s">
        <v>103</v>
      </c>
    </row>
    <row r="4" customFormat="false" ht="15" hidden="false" customHeight="false" outlineLevel="0" collapsed="false">
      <c r="A4" s="6" t="s">
        <v>9</v>
      </c>
      <c r="B4" s="7" t="s">
        <v>104</v>
      </c>
    </row>
    <row r="5" customFormat="false" ht="15" hidden="false" customHeight="false" outlineLevel="0" collapsed="false">
      <c r="A5" s="6" t="s">
        <v>11</v>
      </c>
      <c r="B5" s="7" t="s">
        <v>105</v>
      </c>
    </row>
    <row r="6" customFormat="false" ht="23.85" hidden="false" customHeight="false" outlineLevel="0" collapsed="false">
      <c r="A6" s="6" t="s">
        <v>106</v>
      </c>
      <c r="B6" s="7" t="s">
        <v>107</v>
      </c>
    </row>
    <row r="7" customFormat="false" ht="15" hidden="false" customHeight="false" outlineLevel="0" collapsed="false">
      <c r="A7" s="6" t="s">
        <v>108</v>
      </c>
      <c r="B7" s="7" t="s">
        <v>109</v>
      </c>
    </row>
    <row r="8" customFormat="false" ht="23.85" hidden="false" customHeight="false" outlineLevel="0" collapsed="false">
      <c r="A8" s="6" t="s">
        <v>53</v>
      </c>
      <c r="B8" s="7" t="s">
        <v>110</v>
      </c>
    </row>
    <row r="9" customFormat="false" ht="15" hidden="false" customHeight="false" outlineLevel="0" collapsed="false">
      <c r="A9" s="6"/>
      <c r="B9" s="7"/>
    </row>
    <row r="10" customFormat="false" ht="23.85" hidden="false" customHeight="false" outlineLevel="0" collapsed="false">
      <c r="A10" s="6" t="s">
        <v>111</v>
      </c>
      <c r="B10" s="7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2026-10-02T17:24:50Z</dcterms:created>
  <dc:creator>openpyxl</dc:creator>
  <dc:description/>
  <dc:language>en-US</dc:language>
  <cp:lastModifiedBy/>
  <dcterms:modified xsi:type="dcterms:W3CDTF">2026-10-02T17:24:51Z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